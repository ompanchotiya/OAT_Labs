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204e80335a318273/Documents/OAT_Labs/"/>
    </mc:Choice>
  </mc:AlternateContent>
  <xr:revisionPtr revIDLastSave="69" documentId="13_ncr:1_{D1F89A14-1C6B-413B-89A0-B93313619CF8}" xr6:coauthVersionLast="47" xr6:coauthVersionMax="47" xr10:uidLastSave="{D263058A-25D3-4666-B9C6-17DDE8D10478}"/>
  <bookViews>
    <workbookView xWindow="-108" yWindow="-108" windowWidth="23256" windowHeight="13896" activeTab="1" xr2:uid="{22A7FC68-B796-4BEF-99EB-6B441AEBF729}"/>
  </bookViews>
  <sheets>
    <sheet name="Sheet1" sheetId="1" r:id="rId1"/>
    <sheet name="Sheet2" sheetId="2" r:id="rId2"/>
    <sheet name="Sheet3" sheetId="3" r:id="rId3"/>
    <sheet name="Sheet4" sheetId="4" r:id="rId4"/>
  </sheets>
  <definedNames>
    <definedName name="BBA">Sheet2!$A$2:$A$3</definedName>
    <definedName name="BCA">Sheet2!$B$2:$B$3</definedName>
    <definedName name="Slicer_Category">#N/A</definedName>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4" l="1"/>
  <c r="J9" i="4"/>
  <c r="J10" i="4"/>
  <c r="J11" i="4"/>
  <c r="I8" i="4"/>
  <c r="I9" i="4"/>
  <c r="I10" i="4"/>
  <c r="I11" i="4"/>
  <c r="J7" i="4"/>
  <c r="I7" i="4"/>
  <c r="D5" i="4"/>
  <c r="E5" i="4"/>
  <c r="F5" i="4"/>
  <c r="G5" i="4"/>
  <c r="H5" i="4"/>
  <c r="C5" i="4"/>
  <c r="B5" i="4"/>
  <c r="H2" i="1"/>
  <c r="G2" i="1"/>
</calcChain>
</file>

<file path=xl/sharedStrings.xml><?xml version="1.0" encoding="utf-8"?>
<sst xmlns="http://schemas.openxmlformats.org/spreadsheetml/2006/main" count="117" uniqueCount="55">
  <si>
    <t>ID</t>
  </si>
  <si>
    <t>Department</t>
  </si>
  <si>
    <t>Category</t>
  </si>
  <si>
    <t>Product</t>
  </si>
  <si>
    <t>Quantity</t>
  </si>
  <si>
    <t>Sales</t>
  </si>
  <si>
    <t>Laptop</t>
  </si>
  <si>
    <t>Monitor</t>
  </si>
  <si>
    <t>Keyboard</t>
  </si>
  <si>
    <t>Printer</t>
  </si>
  <si>
    <t>Computer</t>
  </si>
  <si>
    <t>Hardware</t>
  </si>
  <si>
    <t>ICT</t>
  </si>
  <si>
    <t>Networking</t>
  </si>
  <si>
    <t>Router</t>
  </si>
  <si>
    <t>IT</t>
  </si>
  <si>
    <t>Software</t>
  </si>
  <si>
    <t>Antivirus</t>
  </si>
  <si>
    <t>Switch</t>
  </si>
  <si>
    <t>Windows License</t>
  </si>
  <si>
    <t>LAN Cable</t>
  </si>
  <si>
    <t>MS Office</t>
  </si>
  <si>
    <t>Access Point</t>
  </si>
  <si>
    <t>Database Software</t>
  </si>
  <si>
    <t>Mouse</t>
  </si>
  <si>
    <t>Modem</t>
  </si>
  <si>
    <t>Cloud Storage</t>
  </si>
  <si>
    <t>Row Labels</t>
  </si>
  <si>
    <t>Grand Total</t>
  </si>
  <si>
    <t>Sum of Sales</t>
  </si>
  <si>
    <t>index,match</t>
  </si>
  <si>
    <t>avg</t>
  </si>
  <si>
    <t>BBA</t>
  </si>
  <si>
    <t>BCA</t>
  </si>
  <si>
    <t>finance</t>
  </si>
  <si>
    <t>marketing</t>
  </si>
  <si>
    <t>dbms</t>
  </si>
  <si>
    <t>java</t>
  </si>
  <si>
    <t>Year</t>
  </si>
  <si>
    <t>Month</t>
  </si>
  <si>
    <t>Day</t>
  </si>
  <si>
    <t>Date</t>
  </si>
  <si>
    <t>SUN</t>
  </si>
  <si>
    <t>MON</t>
  </si>
  <si>
    <t>TUE</t>
  </si>
  <si>
    <t>WED</t>
  </si>
  <si>
    <t>THU</t>
  </si>
  <si>
    <t>FRI</t>
  </si>
  <si>
    <t>SAT</t>
  </si>
  <si>
    <t>Rno.</t>
  </si>
  <si>
    <t>P</t>
  </si>
  <si>
    <t>AB</t>
  </si>
  <si>
    <t>Present</t>
  </si>
  <si>
    <t>Absent</t>
  </si>
  <si>
    <t>hkjfuybgyfygfkjhkjhgdk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</si>
</sst>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0" fontId="1" fillId="0" borderId="0" xfId="0" applyFont="1" applyAlignment="1">
      <alignment horizontal="left" vertical="center" wrapText="1"/>
    </xf>
    <xf numFmtId="0" fontId="0" fillId="0" borderId="0" xfId="0" applyAlignment="1">
      <alignment horizontal="left" vertical="center" wrapText="1"/>
    </xf>
    <xf numFmtId="14" fontId="0" fillId="0" borderId="0" xfId="0" applyNumberFormat="1"/>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[practice-11_201.xlsx]Sheet1!PivotTable1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c:f>
              <c:strCache>
                <c:ptCount val="1"/>
                <c:pt idx="0">
                  <c:v>Total</c:v>
                </c:pt>
              </c:strCache>
            </c:strRef>
          </c:tx>
          <c:spPr>
            <a:solidFill>
              <a:schemeClr val="accent1"/>
            </a:solidFill>
            <a:ln>
              <a:noFill/>
            </a:ln>
            <a:effectLst/>
          </c:spPr>
          <c:invertIfNegative val="0"/>
          <c:cat>
            <c:strRef>
              <c:f>Sheet1!$K$3:$K$6</c:f>
              <c:strCache>
                <c:ptCount val="3"/>
                <c:pt idx="0">
                  <c:v>Computer</c:v>
                </c:pt>
                <c:pt idx="1">
                  <c:v>ICT</c:v>
                </c:pt>
                <c:pt idx="2">
                  <c:v>IT</c:v>
                </c:pt>
              </c:strCache>
            </c:strRef>
          </c:cat>
          <c:val>
            <c:numRef>
              <c:f>Sheet1!$L$3:$L$6</c:f>
              <c:numCache>
                <c:formatCode>General</c:formatCode>
                <c:ptCount val="3"/>
                <c:pt idx="0">
                  <c:v>557500</c:v>
                </c:pt>
                <c:pt idx="1">
                  <c:v>362000</c:v>
                </c:pt>
                <c:pt idx="2">
                  <c:v>429000</c:v>
                </c:pt>
              </c:numCache>
            </c:numRef>
          </c:val>
          <c:extLst>
            <c:ext xmlns:c16="http://schemas.microsoft.com/office/drawing/2014/chart" uri="{C3380CC4-5D6E-409C-BE32-E72D297353CC}">
              <c16:uniqueId val="{00000000-A3DB-4475-A9F2-D45410811282}"/>
            </c:ext>
          </c:extLst>
        </c:ser>
        <c:dLbls>
          <c:showLegendKey val="0"/>
          <c:showVal val="0"/>
          <c:showCatName val="0"/>
          <c:showSerName val="0"/>
          <c:showPercent val="0"/>
          <c:showBubbleSize val="0"/>
        </c:dLbls>
        <c:gapWidth val="219"/>
        <c:overlap val="-27"/>
        <c:axId val="231417648"/>
        <c:axId val="231418128"/>
      </c:barChart>
      <c:catAx>
        <c:axId val="23141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18128"/>
        <c:crosses val="autoZero"/>
        <c:auto val="1"/>
        <c:lblAlgn val="ctr"/>
        <c:lblOffset val="100"/>
        <c:noMultiLvlLbl val="0"/>
      </c:catAx>
      <c:valAx>
        <c:axId val="23141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1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104775</xdr:colOff>
      <xdr:row>0</xdr:row>
      <xdr:rowOff>0</xdr:rowOff>
    </xdr:from>
    <xdr:to>
      <xdr:col>20</xdr:col>
      <xdr:colOff>409575</xdr:colOff>
      <xdr:row>7</xdr:row>
      <xdr:rowOff>266700</xdr:rowOff>
    </xdr:to>
    <xdr:graphicFrame macro="">
      <xdr:nvGraphicFramePr>
        <xdr:cNvPr id="2" name="Chart 1">
          <a:extLst>
            <a:ext uri="{FF2B5EF4-FFF2-40B4-BE49-F238E27FC236}">
              <a16:creationId xmlns:a16="http://schemas.microsoft.com/office/drawing/2014/main" id="{701E1CAA-25C8-71B4-9647-2F8D44976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476250</xdr:colOff>
      <xdr:row>8</xdr:row>
      <xdr:rowOff>57150</xdr:rowOff>
    </xdr:from>
    <xdr:to>
      <xdr:col>17</xdr:col>
      <xdr:colOff>476250</xdr:colOff>
      <xdr:row>16</xdr:row>
      <xdr:rowOff>104775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5125462-AC80-243E-C93C-41D62BD13A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53750" y="215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552450</xdr:colOff>
      <xdr:row>8</xdr:row>
      <xdr:rowOff>133350</xdr:rowOff>
    </xdr:from>
    <xdr:to>
      <xdr:col>20</xdr:col>
      <xdr:colOff>552450</xdr:colOff>
      <xdr:row>16</xdr:row>
      <xdr:rowOff>180975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E8235E1-3C32-52FC-2F71-3174740B2B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58750" y="222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3.521196180554" createdVersion="8" refreshedVersion="8" minRefreshableVersion="3" recordCount="15" xr:uid="{E7502101-D50B-49EE-95AF-6E15B5BC46C7}">
  <cacheSource type="worksheet">
    <worksheetSource ref="A1:F16" sheet="Sheet1"/>
  </cacheSource>
  <cacheFields count="6">
    <cacheField name="ID" numFmtId="0">
      <sharedItems containsSemiMixedTypes="0" containsString="0" containsNumber="1" containsInteger="1" minValue="101" maxValue="115"/>
    </cacheField>
    <cacheField name="Department" numFmtId="0">
      <sharedItems count="3">
        <s v="Computer"/>
        <s v="ICT"/>
        <s v="IT"/>
      </sharedItems>
    </cacheField>
    <cacheField name="Category" numFmtId="0">
      <sharedItems count="3">
        <s v="Hardware"/>
        <s v="Networking"/>
        <s v="Software"/>
      </sharedItems>
    </cacheField>
    <cacheField name="Product" numFmtId="0">
      <sharedItems/>
    </cacheField>
    <cacheField name="Quantity" numFmtId="0">
      <sharedItems containsSemiMixedTypes="0" containsString="0" containsNumber="1" containsInteger="1" minValue="3" maxValue="30"/>
    </cacheField>
    <cacheField name="Sales" numFmtId="0">
      <sharedItems containsSemiMixedTypes="0" containsString="0" containsNumber="1" containsInteger="1" minValue="12500" maxValue="250000"/>
    </cacheField>
  </cacheFields>
  <extLst>
    <ext xmlns:x14="http://schemas.microsoft.com/office/spreadsheetml/2009/9/main" uri="{725AE2AE-9491-48be-B2B4-4EB974FC3084}">
      <x14:pivotCacheDefinition pivotCacheId="1156171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s v="Laptop"/>
    <n v="5"/>
    <n v="250000"/>
  </r>
  <r>
    <n v="102"/>
    <x v="1"/>
    <x v="1"/>
    <s v="Router"/>
    <n v="10"/>
    <n v="75000"/>
  </r>
  <r>
    <n v="103"/>
    <x v="2"/>
    <x v="2"/>
    <s v="Antivirus"/>
    <n v="12"/>
    <n v="180000"/>
  </r>
  <r>
    <n v="104"/>
    <x v="0"/>
    <x v="0"/>
    <s v="Keyboard"/>
    <n v="25"/>
    <n v="12500"/>
  </r>
  <r>
    <n v="105"/>
    <x v="1"/>
    <x v="1"/>
    <s v="Switch"/>
    <n v="8"/>
    <n v="96000"/>
  </r>
  <r>
    <n v="106"/>
    <x v="2"/>
    <x v="2"/>
    <s v="Windows License"/>
    <n v="6"/>
    <n v="90000"/>
  </r>
  <r>
    <n v="107"/>
    <x v="0"/>
    <x v="0"/>
    <s v="Monitor"/>
    <n v="15"/>
    <n v="225000"/>
  </r>
  <r>
    <n v="108"/>
    <x v="1"/>
    <x v="1"/>
    <s v="LAN Cable"/>
    <n v="30"/>
    <n v="15000"/>
  </r>
  <r>
    <n v="109"/>
    <x v="2"/>
    <x v="2"/>
    <s v="MS Office"/>
    <n v="4"/>
    <n v="60000"/>
  </r>
  <r>
    <n v="110"/>
    <x v="0"/>
    <x v="0"/>
    <s v="Printer"/>
    <n v="5"/>
    <n v="50000"/>
  </r>
  <r>
    <n v="111"/>
    <x v="1"/>
    <x v="1"/>
    <s v="Access Point"/>
    <n v="7"/>
    <n v="140000"/>
  </r>
  <r>
    <n v="112"/>
    <x v="2"/>
    <x v="2"/>
    <s v="Database Software"/>
    <n v="3"/>
    <n v="45000"/>
  </r>
  <r>
    <n v="113"/>
    <x v="0"/>
    <x v="0"/>
    <s v="Mouse"/>
    <n v="20"/>
    <n v="20000"/>
  </r>
  <r>
    <n v="114"/>
    <x v="1"/>
    <x v="1"/>
    <s v="Modem"/>
    <n v="9"/>
    <n v="36000"/>
  </r>
  <r>
    <n v="115"/>
    <x v="2"/>
    <x v="2"/>
    <s v="Cloud Storage"/>
    <n v="18"/>
    <n v="5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FD9F0-18A0-4605-8221-F9AEEDC47E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L6" firstHeaderRow="1" firstDataRow="1" firstDataCol="1"/>
  <pivotFields count="6">
    <pivotField showAll="0"/>
    <pivotField axis="axisRow" showAll="0">
      <items count="4">
        <item x="0"/>
        <item x="1"/>
        <item x="2"/>
        <item t="default"/>
      </items>
    </pivotField>
    <pivotField showAll="0">
      <items count="4">
        <item x="0"/>
        <item x="1"/>
        <item x="2"/>
        <item t="default"/>
      </items>
    </pivotField>
    <pivotField showAll="0"/>
    <pivotField showAll="0"/>
    <pivotField dataField="1" showAll="0"/>
  </pivotFields>
  <rowFields count="1">
    <field x="1"/>
  </rowFields>
  <rowItems count="4">
    <i>
      <x/>
    </i>
    <i>
      <x v="1"/>
    </i>
    <i>
      <x v="2"/>
    </i>
    <i t="grand">
      <x/>
    </i>
  </rowItems>
  <colItems count="1">
    <i/>
  </colItems>
  <dataFields count="1">
    <dataField name="Sum of Sales"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9980D6-1542-4689-A20F-AD2668347A25}" sourceName="Department">
  <pivotTables>
    <pivotTable tabId="1" name="PivotTable1"/>
  </pivotTables>
  <data>
    <tabular pivotCacheId="11561710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580BEE-EBC1-4DD3-808E-9257CC085835}" sourceName="Category">
  <pivotTables>
    <pivotTable tabId="1" name="PivotTable1"/>
  </pivotTables>
  <data>
    <tabular pivotCacheId="115617102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656C64-7CB5-44B0-A8F4-3D22C2F7128E}" cache="Slicer_Department" caption="Department" rowHeight="241300"/>
  <slicer name="Category" xr10:uid="{8C79D192-59AB-41C7-847A-800262486A67}"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68E1-51CE-44E9-A273-CA97E36DB717}">
  <sheetPr codeName="Sheet1"/>
  <dimension ref="A1:L16"/>
  <sheetViews>
    <sheetView workbookViewId="0">
      <selection activeCell="L23" sqref="L23"/>
    </sheetView>
  </sheetViews>
  <sheetFormatPr defaultRowHeight="14.4" x14ac:dyDescent="0.3"/>
  <cols>
    <col min="2" max="2" width="15" customWidth="1"/>
    <col min="3" max="3" width="11.33203125" customWidth="1"/>
    <col min="4" max="4" width="12.109375" customWidth="1"/>
    <col min="7" max="8" width="14.6640625" customWidth="1"/>
    <col min="11" max="11" width="13.109375" bestFit="1" customWidth="1"/>
    <col min="12" max="12" width="12.109375" bestFit="1" customWidth="1"/>
  </cols>
  <sheetData>
    <row r="1" spans="1:12" x14ac:dyDescent="0.3">
      <c r="A1" s="4" t="s">
        <v>0</v>
      </c>
      <c r="B1" s="4" t="s">
        <v>1</v>
      </c>
      <c r="C1" s="4" t="s">
        <v>2</v>
      </c>
      <c r="D1" s="4" t="s">
        <v>3</v>
      </c>
      <c r="E1" s="4" t="s">
        <v>4</v>
      </c>
      <c r="F1" s="4" t="s">
        <v>5</v>
      </c>
      <c r="G1" s="4" t="s">
        <v>30</v>
      </c>
      <c r="H1" s="1" t="s">
        <v>31</v>
      </c>
    </row>
    <row r="2" spans="1:12" x14ac:dyDescent="0.3">
      <c r="A2" s="5">
        <v>101</v>
      </c>
      <c r="B2" s="5" t="s">
        <v>10</v>
      </c>
      <c r="C2" s="5" t="s">
        <v>11</v>
      </c>
      <c r="D2" s="5" t="s">
        <v>6</v>
      </c>
      <c r="E2" s="5">
        <v>5</v>
      </c>
      <c r="F2" s="5">
        <v>250000</v>
      </c>
      <c r="G2" s="3" t="str">
        <f>INDEX(D2:D16,MATCH(A8,A2:A16,0))</f>
        <v>Monitor</v>
      </c>
      <c r="H2">
        <f>AVERAGE(F2:F16)</f>
        <v>100000.00000000003</v>
      </c>
      <c r="K2" s="2" t="s">
        <v>27</v>
      </c>
      <c r="L2" t="s">
        <v>29</v>
      </c>
    </row>
    <row r="3" spans="1:12" x14ac:dyDescent="0.3">
      <c r="A3" s="5">
        <v>102</v>
      </c>
      <c r="B3" s="5" t="s">
        <v>12</v>
      </c>
      <c r="C3" s="5" t="s">
        <v>13</v>
      </c>
      <c r="D3" s="5" t="s">
        <v>14</v>
      </c>
      <c r="E3" s="5">
        <v>10</v>
      </c>
      <c r="F3" s="5">
        <v>75000</v>
      </c>
      <c r="G3" s="3"/>
      <c r="K3" s="3" t="s">
        <v>10</v>
      </c>
      <c r="L3">
        <v>557500</v>
      </c>
    </row>
    <row r="4" spans="1:12" x14ac:dyDescent="0.3">
      <c r="A4" s="5">
        <v>103</v>
      </c>
      <c r="B4" s="5" t="s">
        <v>15</v>
      </c>
      <c r="C4" s="5" t="s">
        <v>16</v>
      </c>
      <c r="D4" s="5" t="s">
        <v>17</v>
      </c>
      <c r="E4" s="5">
        <v>12</v>
      </c>
      <c r="F4" s="5">
        <v>180000</v>
      </c>
      <c r="G4" s="3"/>
      <c r="K4" s="3" t="s">
        <v>12</v>
      </c>
      <c r="L4">
        <v>362000</v>
      </c>
    </row>
    <row r="5" spans="1:12" x14ac:dyDescent="0.3">
      <c r="A5" s="5">
        <v>104</v>
      </c>
      <c r="B5" s="5" t="s">
        <v>10</v>
      </c>
      <c r="C5" s="5" t="s">
        <v>11</v>
      </c>
      <c r="D5" s="5" t="s">
        <v>8</v>
      </c>
      <c r="E5" s="5">
        <v>25</v>
      </c>
      <c r="F5" s="5">
        <v>164000.00000000035</v>
      </c>
      <c r="G5" s="3"/>
      <c r="K5" s="3" t="s">
        <v>15</v>
      </c>
      <c r="L5">
        <v>429000</v>
      </c>
    </row>
    <row r="6" spans="1:12" x14ac:dyDescent="0.3">
      <c r="A6" s="5">
        <v>105</v>
      </c>
      <c r="B6" s="5" t="s">
        <v>12</v>
      </c>
      <c r="C6" s="5" t="s">
        <v>13</v>
      </c>
      <c r="D6" s="5" t="s">
        <v>18</v>
      </c>
      <c r="E6" s="5">
        <v>8</v>
      </c>
      <c r="F6" s="5">
        <v>96000</v>
      </c>
      <c r="G6" s="3"/>
      <c r="K6" s="3" t="s">
        <v>28</v>
      </c>
      <c r="L6">
        <v>1348500</v>
      </c>
    </row>
    <row r="7" spans="1:12" ht="28.8" x14ac:dyDescent="0.3">
      <c r="A7" s="5">
        <v>106</v>
      </c>
      <c r="B7" s="5" t="s">
        <v>15</v>
      </c>
      <c r="C7" s="5" t="s">
        <v>16</v>
      </c>
      <c r="D7" s="5" t="s">
        <v>19</v>
      </c>
      <c r="E7" s="5">
        <v>6</v>
      </c>
      <c r="F7" s="5">
        <v>90000</v>
      </c>
      <c r="G7" s="3"/>
    </row>
    <row r="8" spans="1:12" x14ac:dyDescent="0.3">
      <c r="A8" s="5">
        <v>107</v>
      </c>
      <c r="B8" s="5" t="s">
        <v>10</v>
      </c>
      <c r="C8" s="5" t="s">
        <v>11</v>
      </c>
      <c r="D8" s="5" t="s">
        <v>7</v>
      </c>
      <c r="E8" s="5">
        <v>15</v>
      </c>
      <c r="F8" s="5">
        <v>225000</v>
      </c>
      <c r="G8" s="3"/>
    </row>
    <row r="9" spans="1:12" x14ac:dyDescent="0.3">
      <c r="A9" s="5">
        <v>108</v>
      </c>
      <c r="B9" s="5" t="s">
        <v>12</v>
      </c>
      <c r="C9" s="5" t="s">
        <v>13</v>
      </c>
      <c r="D9" s="5" t="s">
        <v>20</v>
      </c>
      <c r="E9" s="5">
        <v>30</v>
      </c>
      <c r="F9" s="5">
        <v>15000</v>
      </c>
      <c r="G9" s="3"/>
    </row>
    <row r="10" spans="1:12" x14ac:dyDescent="0.3">
      <c r="A10" s="5">
        <v>109</v>
      </c>
      <c r="B10" s="5" t="s">
        <v>15</v>
      </c>
      <c r="C10" s="5" t="s">
        <v>16</v>
      </c>
      <c r="D10" s="5" t="s">
        <v>21</v>
      </c>
      <c r="E10" s="5">
        <v>4</v>
      </c>
      <c r="F10" s="5">
        <v>60000</v>
      </c>
      <c r="G10" s="3"/>
    </row>
    <row r="11" spans="1:12" x14ac:dyDescent="0.3">
      <c r="A11" s="5">
        <v>110</v>
      </c>
      <c r="B11" s="5" t="s">
        <v>10</v>
      </c>
      <c r="C11" s="5" t="s">
        <v>11</v>
      </c>
      <c r="D11" s="5" t="s">
        <v>9</v>
      </c>
      <c r="E11" s="5">
        <v>5</v>
      </c>
      <c r="F11" s="5">
        <v>50000</v>
      </c>
      <c r="G11" s="3"/>
    </row>
    <row r="12" spans="1:12" x14ac:dyDescent="0.3">
      <c r="A12" s="5">
        <v>111</v>
      </c>
      <c r="B12" s="5" t="s">
        <v>12</v>
      </c>
      <c r="C12" s="5" t="s">
        <v>13</v>
      </c>
      <c r="D12" s="5" t="s">
        <v>22</v>
      </c>
      <c r="E12" s="5">
        <v>7</v>
      </c>
      <c r="F12" s="5">
        <v>140000</v>
      </c>
      <c r="G12" s="3"/>
    </row>
    <row r="13" spans="1:12" ht="28.8" x14ac:dyDescent="0.3">
      <c r="A13" s="5">
        <v>112</v>
      </c>
      <c r="B13" s="5" t="s">
        <v>15</v>
      </c>
      <c r="C13" s="5" t="s">
        <v>16</v>
      </c>
      <c r="D13" s="5" t="s">
        <v>23</v>
      </c>
      <c r="E13" s="5">
        <v>3</v>
      </c>
      <c r="F13" s="5">
        <v>45000</v>
      </c>
      <c r="G13" s="3"/>
    </row>
    <row r="14" spans="1:12" x14ac:dyDescent="0.3">
      <c r="A14" s="5">
        <v>113</v>
      </c>
      <c r="B14" s="5" t="s">
        <v>10</v>
      </c>
      <c r="C14" s="5" t="s">
        <v>11</v>
      </c>
      <c r="D14" s="5" t="s">
        <v>24</v>
      </c>
      <c r="E14" s="5">
        <v>20</v>
      </c>
      <c r="F14" s="5">
        <v>20000</v>
      </c>
      <c r="G14" s="3"/>
    </row>
    <row r="15" spans="1:12" x14ac:dyDescent="0.3">
      <c r="A15" s="5">
        <v>114</v>
      </c>
      <c r="B15" s="5" t="s">
        <v>12</v>
      </c>
      <c r="C15" s="5" t="s">
        <v>13</v>
      </c>
      <c r="D15" s="5" t="s">
        <v>25</v>
      </c>
      <c r="E15" s="5">
        <v>9</v>
      </c>
      <c r="F15" s="5">
        <v>36000</v>
      </c>
      <c r="G15" s="3"/>
    </row>
    <row r="16" spans="1:12" ht="28.8" x14ac:dyDescent="0.3">
      <c r="A16" s="5">
        <v>115</v>
      </c>
      <c r="B16" s="5" t="s">
        <v>15</v>
      </c>
      <c r="C16" s="5" t="s">
        <v>16</v>
      </c>
      <c r="D16" s="5" t="s">
        <v>26</v>
      </c>
      <c r="E16" s="5">
        <v>18</v>
      </c>
      <c r="F16" s="5">
        <v>54000</v>
      </c>
      <c r="G16"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4857-0EA4-4E0E-9C49-054EF9213E23}">
  <sheetPr codeName="Sheet2"/>
  <dimension ref="A1:H10"/>
  <sheetViews>
    <sheetView tabSelected="1" workbookViewId="0">
      <selection activeCell="K16" sqref="K16"/>
    </sheetView>
  </sheetViews>
  <sheetFormatPr defaultRowHeight="14.4" x14ac:dyDescent="0.3"/>
  <cols>
    <col min="1" max="1" width="10" bestFit="1" customWidth="1"/>
    <col min="2" max="2" width="5.88671875" bestFit="1" customWidth="1"/>
    <col min="3" max="3" width="4.5546875" bestFit="1" customWidth="1"/>
    <col min="4" max="4" width="5.88671875" bestFit="1" customWidth="1"/>
    <col min="7" max="7" width="18.5546875" bestFit="1" customWidth="1"/>
    <col min="8" max="8" width="19.33203125" bestFit="1" customWidth="1"/>
  </cols>
  <sheetData>
    <row r="1" spans="1:8" x14ac:dyDescent="0.3">
      <c r="A1" t="s">
        <v>32</v>
      </c>
      <c r="B1" t="s">
        <v>33</v>
      </c>
      <c r="C1" t="s">
        <v>33</v>
      </c>
      <c r="D1" t="s">
        <v>36</v>
      </c>
    </row>
    <row r="2" spans="1:8" x14ac:dyDescent="0.3">
      <c r="A2" t="s">
        <v>34</v>
      </c>
      <c r="B2" t="s">
        <v>36</v>
      </c>
    </row>
    <row r="3" spans="1:8" x14ac:dyDescent="0.3">
      <c r="A3" t="s">
        <v>35</v>
      </c>
      <c r="B3" t="s">
        <v>37</v>
      </c>
    </row>
    <row r="10" spans="1:8" x14ac:dyDescent="0.3">
      <c r="H10" t="s">
        <v>54</v>
      </c>
    </row>
  </sheetData>
  <dataValidations count="2">
    <dataValidation type="list" allowBlank="1" showInputMessage="1" showErrorMessage="1" sqref="C1" xr:uid="{9858BEE3-7BA8-43A3-BF7E-CCF577EEA2AA}">
      <formula1>"BBA,BCA"</formula1>
    </dataValidation>
    <dataValidation type="list" allowBlank="1" showInputMessage="1" showErrorMessage="1" sqref="D1" xr:uid="{2805020D-71F7-451B-803D-6658E40AD9ED}">
      <formula1>INDIRECT($C$1)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36335-6DB4-407B-98BA-6AB42265625B}">
  <dimension ref="A1:A14"/>
  <sheetViews>
    <sheetView workbookViewId="0">
      <selection activeCell="F20" sqref="F20"/>
    </sheetView>
  </sheetViews>
  <sheetFormatPr defaultRowHeight="14.4" x14ac:dyDescent="0.3"/>
  <sheetData>
    <row r="1" spans="1:1" x14ac:dyDescent="0.3">
      <c r="A1">
        <v>1</v>
      </c>
    </row>
    <row r="2" spans="1:1" x14ac:dyDescent="0.3">
      <c r="A2">
        <v>12</v>
      </c>
    </row>
    <row r="3" spans="1:1" x14ac:dyDescent="0.3">
      <c r="A3">
        <v>2</v>
      </c>
    </row>
    <row r="4" spans="1:1" x14ac:dyDescent="0.3">
      <c r="A4">
        <v>3</v>
      </c>
    </row>
    <row r="5" spans="1:1" x14ac:dyDescent="0.3">
      <c r="A5">
        <v>5</v>
      </c>
    </row>
    <row r="6" spans="1:1" x14ac:dyDescent="0.3">
      <c r="A6">
        <v>5</v>
      </c>
    </row>
    <row r="7" spans="1:1" x14ac:dyDescent="0.3">
      <c r="A7">
        <v>5</v>
      </c>
    </row>
    <row r="8" spans="1:1" x14ac:dyDescent="0.3">
      <c r="A8">
        <v>63</v>
      </c>
    </row>
    <row r="9" spans="1:1" x14ac:dyDescent="0.3">
      <c r="A9">
        <v>4</v>
      </c>
    </row>
    <row r="10" spans="1:1" x14ac:dyDescent="0.3">
      <c r="A10">
        <v>5</v>
      </c>
    </row>
    <row r="11" spans="1:1" x14ac:dyDescent="0.3">
      <c r="A11">
        <v>4</v>
      </c>
    </row>
    <row r="12" spans="1:1" x14ac:dyDescent="0.3">
      <c r="A12">
        <v>5</v>
      </c>
    </row>
    <row r="13" spans="1:1" x14ac:dyDescent="0.3">
      <c r="A13">
        <v>45</v>
      </c>
    </row>
    <row r="14" spans="1:1" x14ac:dyDescent="0.3">
      <c r="A14">
        <v>5</v>
      </c>
    </row>
  </sheetData>
  <conditionalFormatting sqref="A1:C10 A11:A14">
    <cfRule type="expression" dxfId="3" priority="1">
      <formula>COUNTA($A1)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A468-4DCA-484A-B312-4F8971732354}">
  <dimension ref="A1:J11"/>
  <sheetViews>
    <sheetView workbookViewId="0">
      <selection activeCell="N22" sqref="N22"/>
    </sheetView>
  </sheetViews>
  <sheetFormatPr defaultRowHeight="14.4" x14ac:dyDescent="0.3"/>
  <cols>
    <col min="2" max="3" width="10.5546875" bestFit="1" customWidth="1"/>
    <col min="4" max="4" width="11.77734375" customWidth="1"/>
    <col min="5" max="5" width="11.33203125" customWidth="1"/>
    <col min="6" max="6" width="10.6640625" customWidth="1"/>
    <col min="7" max="7" width="11.109375" customWidth="1"/>
  </cols>
  <sheetData>
    <row r="1" spans="1:10" x14ac:dyDescent="0.3">
      <c r="A1" t="s">
        <v>38</v>
      </c>
      <c r="B1" t="s">
        <v>39</v>
      </c>
    </row>
    <row r="2" spans="1:10" x14ac:dyDescent="0.3">
      <c r="A2">
        <v>2026</v>
      </c>
      <c r="B2">
        <v>1</v>
      </c>
    </row>
    <row r="4" spans="1:10" x14ac:dyDescent="0.3">
      <c r="A4" t="s">
        <v>40</v>
      </c>
      <c r="B4" t="s">
        <v>42</v>
      </c>
      <c r="C4" t="s">
        <v>43</v>
      </c>
      <c r="D4" t="s">
        <v>44</v>
      </c>
      <c r="E4" t="s">
        <v>45</v>
      </c>
      <c r="F4" t="s">
        <v>46</v>
      </c>
      <c r="G4" t="s">
        <v>47</v>
      </c>
      <c r="H4" t="s">
        <v>48</v>
      </c>
    </row>
    <row r="5" spans="1:10" x14ac:dyDescent="0.3">
      <c r="A5" t="s">
        <v>41</v>
      </c>
      <c r="B5" s="6">
        <f>DATE(A2,B2,1)-WEEKDAY(DATE(A2,B2,1))+1</f>
        <v>46019</v>
      </c>
      <c r="C5" s="6">
        <f>B5+1</f>
        <v>46020</v>
      </c>
      <c r="D5" s="6">
        <f t="shared" ref="D5:H5" si="0">C5+1</f>
        <v>46021</v>
      </c>
      <c r="E5" s="6">
        <f t="shared" si="0"/>
        <v>46022</v>
      </c>
      <c r="F5" s="6">
        <f t="shared" si="0"/>
        <v>46023</v>
      </c>
      <c r="G5" s="6">
        <f t="shared" si="0"/>
        <v>46024</v>
      </c>
      <c r="H5" s="6">
        <f t="shared" si="0"/>
        <v>46025</v>
      </c>
      <c r="I5" t="s">
        <v>52</v>
      </c>
      <c r="J5" t="s">
        <v>53</v>
      </c>
    </row>
    <row r="6" spans="1:10" x14ac:dyDescent="0.3">
      <c r="A6" t="s">
        <v>49</v>
      </c>
    </row>
    <row r="7" spans="1:10" x14ac:dyDescent="0.3">
      <c r="A7">
        <v>101</v>
      </c>
      <c r="B7" t="s">
        <v>50</v>
      </c>
      <c r="C7" t="s">
        <v>51</v>
      </c>
      <c r="D7" t="s">
        <v>50</v>
      </c>
      <c r="E7" t="s">
        <v>50</v>
      </c>
      <c r="F7" t="s">
        <v>51</v>
      </c>
      <c r="G7" t="s">
        <v>50</v>
      </c>
      <c r="H7" t="s">
        <v>50</v>
      </c>
      <c r="I7">
        <f>COUNTIF(B7:H7,"p")</f>
        <v>5</v>
      </c>
      <c r="J7">
        <f>COUNTIF(B7:H7,"AB")</f>
        <v>2</v>
      </c>
    </row>
    <row r="8" spans="1:10" x14ac:dyDescent="0.3">
      <c r="A8">
        <v>102</v>
      </c>
      <c r="B8" t="s">
        <v>50</v>
      </c>
      <c r="C8" t="s">
        <v>50</v>
      </c>
      <c r="D8" t="s">
        <v>50</v>
      </c>
      <c r="E8" t="s">
        <v>50</v>
      </c>
      <c r="F8" t="s">
        <v>50</v>
      </c>
      <c r="G8" t="s">
        <v>50</v>
      </c>
      <c r="H8" t="s">
        <v>50</v>
      </c>
      <c r="I8">
        <f t="shared" ref="I8:I11" si="1">COUNTIF(B8:H8,"p")</f>
        <v>7</v>
      </c>
      <c r="J8">
        <f t="shared" ref="J8:J11" si="2">COUNTIF(B8:H8,"AB")</f>
        <v>0</v>
      </c>
    </row>
    <row r="9" spans="1:10" x14ac:dyDescent="0.3">
      <c r="A9">
        <v>103</v>
      </c>
      <c r="B9" t="s">
        <v>51</v>
      </c>
      <c r="C9" t="s">
        <v>51</v>
      </c>
      <c r="D9" t="s">
        <v>50</v>
      </c>
      <c r="E9" t="s">
        <v>50</v>
      </c>
      <c r="F9" t="s">
        <v>51</v>
      </c>
      <c r="G9" t="s">
        <v>50</v>
      </c>
      <c r="H9" t="s">
        <v>50</v>
      </c>
      <c r="I9">
        <f t="shared" si="1"/>
        <v>4</v>
      </c>
      <c r="J9">
        <f t="shared" si="2"/>
        <v>3</v>
      </c>
    </row>
    <row r="10" spans="1:10" x14ac:dyDescent="0.3">
      <c r="A10">
        <v>104</v>
      </c>
      <c r="B10" t="s">
        <v>50</v>
      </c>
      <c r="C10" t="s">
        <v>50</v>
      </c>
      <c r="D10" t="s">
        <v>51</v>
      </c>
      <c r="E10" t="s">
        <v>51</v>
      </c>
      <c r="F10" t="s">
        <v>50</v>
      </c>
      <c r="G10" t="s">
        <v>51</v>
      </c>
      <c r="H10" t="s">
        <v>51</v>
      </c>
      <c r="I10">
        <f t="shared" si="1"/>
        <v>3</v>
      </c>
      <c r="J10">
        <f t="shared" si="2"/>
        <v>4</v>
      </c>
    </row>
    <row r="11" spans="1:10" x14ac:dyDescent="0.3">
      <c r="A11">
        <v>105</v>
      </c>
      <c r="B11" t="s">
        <v>51</v>
      </c>
      <c r="C11" t="s">
        <v>50</v>
      </c>
      <c r="D11" t="s">
        <v>51</v>
      </c>
      <c r="E11" t="s">
        <v>50</v>
      </c>
      <c r="F11" t="s">
        <v>50</v>
      </c>
      <c r="G11" t="s">
        <v>51</v>
      </c>
      <c r="H11" t="s">
        <v>50</v>
      </c>
      <c r="I11">
        <f t="shared" si="1"/>
        <v>4</v>
      </c>
      <c r="J11">
        <f t="shared" si="2"/>
        <v>3</v>
      </c>
    </row>
  </sheetData>
  <phoneticPr fontId="2" type="noConversion"/>
  <conditionalFormatting sqref="B7:H11">
    <cfRule type="cellIs" dxfId="0" priority="2" operator="equal">
      <formula>"P"</formula>
    </cfRule>
    <cfRule type="cellIs" dxfId="1" priority="1" operator="equal">
      <formula>"AB"</formula>
    </cfRule>
  </conditionalFormatting>
  <dataValidations count="1">
    <dataValidation type="list" allowBlank="1" showInputMessage="1" showErrorMessage="1" sqref="B7:H11" xr:uid="{BBC72500-9CED-4473-8AA7-37C1113B7E53}">
      <formula1>"P,AB"</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Sheet2</vt:lpstr>
      <vt:lpstr>Sheet3</vt:lpstr>
      <vt:lpstr>Sheet4</vt:lpstr>
      <vt:lpstr>BBA</vt:lpstr>
      <vt:lpstr>BCA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Om Patel</cp:lastModifiedBy>
  <dcterms:created xsi:type="dcterms:W3CDTF">2026-08-19T06:42:06Z</dcterms:created>
  <dcterms:modified xsi:type="dcterms:W3CDTF">2026-09-09T07:21:50Z</dcterms:modified>
</cp:coreProperties>
</file>