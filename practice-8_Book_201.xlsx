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4e80335a318273/Documents/"/>
    </mc:Choice>
  </mc:AlternateContent>
  <xr:revisionPtr revIDLastSave="138" documentId="8_{006EA320-0E1E-4472-8C28-453FF10FCE36}" xr6:coauthVersionLast="47" xr6:coauthVersionMax="47" xr10:uidLastSave="{10FE2D80-27D8-4D86-BFAF-FE5548EFEE2A}"/>
  <bookViews>
    <workbookView xWindow="-108" yWindow="-108" windowWidth="23256" windowHeight="13896" xr2:uid="{A2A02C4B-F8E3-46F8-8D5B-6989DFB8253D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25" i="1"/>
  <c r="B10" i="3"/>
  <c r="B11" i="3"/>
  <c r="B12" i="3"/>
  <c r="B13" i="3"/>
  <c r="B9" i="3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2" i="1"/>
  <c r="B19" i="1"/>
  <c r="B18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2" i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2" i="1"/>
  <c r="Q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M3" i="1"/>
  <c r="O3" i="1" s="1"/>
  <c r="M4" i="1"/>
  <c r="O4" i="1" s="1"/>
  <c r="M5" i="1"/>
  <c r="O5" i="1" s="1"/>
  <c r="M6" i="1"/>
  <c r="O6" i="1" s="1"/>
  <c r="M7" i="1"/>
  <c r="O7" i="1" s="1"/>
  <c r="M8" i="1"/>
  <c r="O8" i="1" s="1"/>
  <c r="M9" i="1"/>
  <c r="O9" i="1" s="1"/>
  <c r="M10" i="1"/>
  <c r="O10" i="1" s="1"/>
  <c r="M11" i="1"/>
  <c r="O11" i="1" s="1"/>
  <c r="M12" i="1"/>
  <c r="O12" i="1" s="1"/>
  <c r="M13" i="1"/>
  <c r="O13" i="1" s="1"/>
  <c r="M14" i="1"/>
  <c r="O14" i="1" s="1"/>
  <c r="M15" i="1"/>
  <c r="O15" i="1" s="1"/>
  <c r="M16" i="1"/>
  <c r="O16" i="1" s="1"/>
  <c r="M2" i="1"/>
  <c r="O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B20" i="1" l="1"/>
</calcChain>
</file>

<file path=xl/sharedStrings.xml><?xml version="1.0" encoding="utf-8"?>
<sst xmlns="http://schemas.openxmlformats.org/spreadsheetml/2006/main" count="62" uniqueCount="56">
  <si>
    <t>No.</t>
  </si>
  <si>
    <t>Student Name</t>
  </si>
  <si>
    <t>English</t>
  </si>
  <si>
    <t>Mathematics</t>
  </si>
  <si>
    <t>Science</t>
  </si>
  <si>
    <t>Social Science</t>
  </si>
  <si>
    <t>Computer</t>
  </si>
  <si>
    <t>sum</t>
  </si>
  <si>
    <t>percentage</t>
  </si>
  <si>
    <t>max</t>
  </si>
  <si>
    <t>min</t>
  </si>
  <si>
    <t>lower</t>
  </si>
  <si>
    <t>upper</t>
  </si>
  <si>
    <t>proper</t>
  </si>
  <si>
    <t>average</t>
  </si>
  <si>
    <t>Grade</t>
  </si>
  <si>
    <t>concate</t>
  </si>
  <si>
    <t>count</t>
  </si>
  <si>
    <t>count A</t>
  </si>
  <si>
    <t>count if</t>
  </si>
  <si>
    <t>trim</t>
  </si>
  <si>
    <t>Vivaan</t>
  </si>
  <si>
    <t>Patel</t>
  </si>
  <si>
    <t>Aditya</t>
  </si>
  <si>
    <t>Mehta</t>
  </si>
  <si>
    <t>Rohan</t>
  </si>
  <si>
    <t>Gupta</t>
  </si>
  <si>
    <t>Arjun</t>
  </si>
  <si>
    <t>Verma</t>
  </si>
  <si>
    <t>Krishna</t>
  </si>
  <si>
    <t>Joshi</t>
  </si>
  <si>
    <t>Yash</t>
  </si>
  <si>
    <t>Shah</t>
  </si>
  <si>
    <t>Dhruv</t>
  </si>
  <si>
    <t>Desai</t>
  </si>
  <si>
    <t>Karan</t>
  </si>
  <si>
    <t>Singh</t>
  </si>
  <si>
    <t>Rahul</t>
  </si>
  <si>
    <t>Malhotra</t>
  </si>
  <si>
    <t>Priya</t>
  </si>
  <si>
    <t>Nair</t>
  </si>
  <si>
    <t>Ananya</t>
  </si>
  <si>
    <t>Kapoor</t>
  </si>
  <si>
    <t>Sneha</t>
  </si>
  <si>
    <t>Reddy</t>
  </si>
  <si>
    <t>Neha</t>
  </si>
  <si>
    <t>Choudhary</t>
  </si>
  <si>
    <t>Kavya</t>
  </si>
  <si>
    <t>Iyer</t>
  </si>
  <si>
    <t>last Name</t>
  </si>
  <si>
    <t>Aarav</t>
  </si>
  <si>
    <t>Sharma</t>
  </si>
  <si>
    <t>No</t>
  </si>
  <si>
    <t>Roll No</t>
  </si>
  <si>
    <t>Marks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</si>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</sst>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10" fontId="0" fillId="0" borderId="0" xfId="0" applyNumberFormat="1" applyAlignment="1">
      <alignment horizont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E04C-CCF7-4B82-AF7A-564EC108CB2D}">
  <dimension ref="A1:S39"/>
  <sheetViews>
    <sheetView tabSelected="1" topLeftCell="A2" zoomScale="85" zoomScaleNormal="85" workbookViewId="0">
      <selection activeCell="D30" sqref="D30"/>
    </sheetView>
  </sheetViews>
  <sheetFormatPr defaultRowHeight="14.4" x14ac:dyDescent="0.3"/>
  <cols>
    <col min="1" max="1" width="7.88671875" customWidth="1"/>
    <col min="2" max="3" width="16.109375" customWidth="1"/>
    <col min="4" max="4" width="10.109375" customWidth="1"/>
    <col min="5" max="5" width="12.21875" customWidth="1"/>
    <col min="6" max="6" width="12.109375" customWidth="1"/>
    <col min="7" max="7" width="11.88671875" customWidth="1"/>
    <col min="8" max="8" width="12.33203125" customWidth="1"/>
    <col min="10" max="10" width="11" customWidth="1"/>
    <col min="13" max="13" width="14.77734375" customWidth="1"/>
    <col min="14" max="14" width="17.33203125" customWidth="1"/>
    <col min="15" max="15" width="15.5546875" customWidth="1"/>
    <col min="17" max="17" width="5.109375" customWidth="1"/>
    <col min="18" max="18" width="16.88671875" customWidth="1"/>
    <col min="19" max="19" width="14.21875" customWidth="1"/>
  </cols>
  <sheetData>
    <row r="1" spans="1:19" ht="28.8" x14ac:dyDescent="0.3">
      <c r="A1" s="2" t="s">
        <v>0</v>
      </c>
      <c r="B1" s="2" t="s">
        <v>1</v>
      </c>
      <c r="C1" s="2" t="s">
        <v>49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20</v>
      </c>
    </row>
    <row r="2" spans="1:19" x14ac:dyDescent="0.3">
      <c r="A2" s="1">
        <v>1</v>
      </c>
      <c r="B2" s="1" t="s">
        <v>50</v>
      </c>
      <c r="C2" s="1" t="s">
        <v>51</v>
      </c>
      <c r="D2" s="1">
        <v>85</v>
      </c>
      <c r="E2" s="1">
        <v>92</v>
      </c>
      <c r="F2" s="1">
        <v>88</v>
      </c>
      <c r="G2" s="1">
        <v>81</v>
      </c>
      <c r="H2" s="1">
        <v>95</v>
      </c>
      <c r="I2" s="3">
        <f>SUM(D2:H2)</f>
        <v>441</v>
      </c>
      <c r="J2" s="4">
        <f>AVERAGE(D2:H2)/100</f>
        <v>0.88200000000000001</v>
      </c>
      <c r="K2" s="3">
        <f>MAX(D2:H2)</f>
        <v>95</v>
      </c>
      <c r="L2" s="3">
        <f>MIN(D2:H2)</f>
        <v>81</v>
      </c>
      <c r="M2" s="3" t="str">
        <f>LOWER(B2)</f>
        <v>aarav</v>
      </c>
      <c r="N2" s="3" t="str">
        <f>UPPER(B2)</f>
        <v>AARAV</v>
      </c>
      <c r="O2" s="3" t="str">
        <f>PROPER(M2)</f>
        <v>Aarav</v>
      </c>
      <c r="P2">
        <f>AVERAGE(D2:H2)</f>
        <v>88.2</v>
      </c>
      <c r="Q2" t="str">
        <f>IF(P2&gt;=90,"A",IF(P2&gt;=80,"B",IF(P2&gt;=70,"C","FAIL")))</f>
        <v>B</v>
      </c>
      <c r="R2" t="str">
        <f>_xlfn.CONCAT(A2,"-",B2)</f>
        <v>1-Aarav</v>
      </c>
      <c r="S2" t="str">
        <f>TRIM(B2)</f>
        <v>Aarav</v>
      </c>
    </row>
    <row r="3" spans="1:19" x14ac:dyDescent="0.3">
      <c r="A3" s="1">
        <v>2</v>
      </c>
      <c r="B3" s="1" t="s">
        <v>21</v>
      </c>
      <c r="C3" s="1" t="s">
        <v>22</v>
      </c>
      <c r="D3" s="1">
        <v>78</v>
      </c>
      <c r="E3" s="1">
        <v>84</v>
      </c>
      <c r="F3" s="1">
        <v>80</v>
      </c>
      <c r="G3" s="1">
        <v>76</v>
      </c>
      <c r="H3" s="1">
        <v>89</v>
      </c>
      <c r="I3" s="3">
        <f t="shared" ref="I3:I16" si="0">SUM(D3:H3)</f>
        <v>407</v>
      </c>
      <c r="J3" s="4">
        <f t="shared" ref="J3:J16" si="1">AVERAGE(D3:H3)/100</f>
        <v>0.81400000000000006</v>
      </c>
      <c r="K3" s="3">
        <f t="shared" ref="K3:K16" si="2">MAX(D3:H3)</f>
        <v>89</v>
      </c>
      <c r="L3" s="3">
        <f t="shared" ref="L3:L16" si="3">MIN(D3:H3)</f>
        <v>76</v>
      </c>
      <c r="M3" s="3" t="str">
        <f>LOWER(B3)</f>
        <v>vivaan</v>
      </c>
      <c r="N3" s="3" t="str">
        <f>UPPER(B3)</f>
        <v>VIVAAN</v>
      </c>
      <c r="O3" s="3" t="str">
        <f t="shared" ref="O3:O16" si="4">PROPER(M3)</f>
        <v>Vivaan</v>
      </c>
      <c r="P3">
        <f t="shared" ref="P3:P16" si="5">AVERAGE(D3:H3)</f>
        <v>81.400000000000006</v>
      </c>
      <c r="Q3" t="str">
        <f t="shared" ref="Q3:Q16" si="6">IF(P3&gt;=90,"A",IF(P3&gt;=80,"B",IF(P3&gt;=70,"C","FAIL")))</f>
        <v>B</v>
      </c>
      <c r="R3" t="str">
        <f t="shared" ref="R3:R16" si="7">_xlfn.CONCAT(A3,"-",B3)</f>
        <v>2-Vivaan</v>
      </c>
      <c r="S3" t="str">
        <f t="shared" ref="S3:S16" si="8">TRIM(B3)</f>
        <v>Vivaan</v>
      </c>
    </row>
    <row r="4" spans="1:19" x14ac:dyDescent="0.3">
      <c r="A4" s="1">
        <v>3</v>
      </c>
      <c r="B4" s="1" t="s">
        <v>23</v>
      </c>
      <c r="C4" s="1" t="s">
        <v>24</v>
      </c>
      <c r="D4" s="1">
        <v>91</v>
      </c>
      <c r="E4" s="1">
        <v>95</v>
      </c>
      <c r="F4" s="1">
        <v>93</v>
      </c>
      <c r="G4" s="1">
        <v>88</v>
      </c>
      <c r="H4" s="1">
        <v>97</v>
      </c>
      <c r="I4" s="3">
        <f t="shared" si="0"/>
        <v>464</v>
      </c>
      <c r="J4" s="4">
        <f t="shared" si="1"/>
        <v>0.92799999999999994</v>
      </c>
      <c r="K4" s="3">
        <f t="shared" si="2"/>
        <v>97</v>
      </c>
      <c r="L4" s="3">
        <f t="shared" si="3"/>
        <v>88</v>
      </c>
      <c r="M4" s="3" t="str">
        <f>LOWER(B4)</f>
        <v>aditya</v>
      </c>
      <c r="N4" s="3" t="str">
        <f>UPPER(B4)</f>
        <v>ADITYA</v>
      </c>
      <c r="O4" s="3" t="str">
        <f t="shared" si="4"/>
        <v>Aditya</v>
      </c>
      <c r="P4">
        <f t="shared" si="5"/>
        <v>92.8</v>
      </c>
      <c r="Q4" t="str">
        <f t="shared" si="6"/>
        <v>A</v>
      </c>
      <c r="R4" t="str">
        <f t="shared" si="7"/>
        <v>3-Aditya</v>
      </c>
      <c r="S4" t="str">
        <f t="shared" si="8"/>
        <v>Aditya</v>
      </c>
    </row>
    <row r="5" spans="1:19" x14ac:dyDescent="0.3">
      <c r="A5" s="1">
        <v>4</v>
      </c>
      <c r="B5" s="1" t="s">
        <v>25</v>
      </c>
      <c r="C5" s="1" t="s">
        <v>26</v>
      </c>
      <c r="D5" s="1">
        <v>72</v>
      </c>
      <c r="E5" s="1">
        <v>79</v>
      </c>
      <c r="F5" s="1">
        <v>75</v>
      </c>
      <c r="G5" s="1">
        <v>70</v>
      </c>
      <c r="H5" s="1">
        <v>82</v>
      </c>
      <c r="I5" s="3">
        <f t="shared" si="0"/>
        <v>378</v>
      </c>
      <c r="J5" s="4">
        <f t="shared" si="1"/>
        <v>0.75599999999999989</v>
      </c>
      <c r="K5" s="3">
        <f t="shared" si="2"/>
        <v>82</v>
      </c>
      <c r="L5" s="3">
        <f t="shared" si="3"/>
        <v>70</v>
      </c>
      <c r="M5" s="3" t="str">
        <f>LOWER(B5)</f>
        <v>rohan</v>
      </c>
      <c r="N5" s="3" t="str">
        <f>UPPER(B5)</f>
        <v>ROHAN</v>
      </c>
      <c r="O5" s="3" t="str">
        <f t="shared" si="4"/>
        <v>Rohan</v>
      </c>
      <c r="P5">
        <f t="shared" si="5"/>
        <v>75.599999999999994</v>
      </c>
      <c r="Q5" t="str">
        <f t="shared" si="6"/>
        <v>C</v>
      </c>
      <c r="R5" t="str">
        <f t="shared" si="7"/>
        <v>4-Rohan</v>
      </c>
      <c r="S5" t="str">
        <f t="shared" si="8"/>
        <v>Rohan</v>
      </c>
    </row>
    <row r="6" spans="1:19" x14ac:dyDescent="0.3">
      <c r="A6" s="1">
        <v>5</v>
      </c>
      <c r="B6" s="1" t="s">
        <v>27</v>
      </c>
      <c r="C6" s="1" t="s">
        <v>28</v>
      </c>
      <c r="D6" s="1">
        <v>88</v>
      </c>
      <c r="E6" s="1">
        <v>90</v>
      </c>
      <c r="F6" s="1">
        <v>86</v>
      </c>
      <c r="G6" s="1">
        <v>84</v>
      </c>
      <c r="H6" s="1">
        <v>91</v>
      </c>
      <c r="I6" s="3">
        <f t="shared" si="0"/>
        <v>439</v>
      </c>
      <c r="J6" s="4">
        <f t="shared" si="1"/>
        <v>0.878</v>
      </c>
      <c r="K6" s="3">
        <f t="shared" si="2"/>
        <v>91</v>
      </c>
      <c r="L6" s="3">
        <f t="shared" si="3"/>
        <v>84</v>
      </c>
      <c r="M6" s="3" t="str">
        <f>LOWER(B6)</f>
        <v>arjun</v>
      </c>
      <c r="N6" s="3" t="str">
        <f>UPPER(B6)</f>
        <v>ARJUN</v>
      </c>
      <c r="O6" s="3" t="str">
        <f t="shared" si="4"/>
        <v>Arjun</v>
      </c>
      <c r="P6">
        <f t="shared" si="5"/>
        <v>87.8</v>
      </c>
      <c r="Q6" t="str">
        <f t="shared" si="6"/>
        <v>B</v>
      </c>
      <c r="R6" t="str">
        <f t="shared" si="7"/>
        <v>5-Arjun</v>
      </c>
      <c r="S6" t="str">
        <f t="shared" si="8"/>
        <v>Arjun</v>
      </c>
    </row>
    <row r="7" spans="1:19" x14ac:dyDescent="0.3">
      <c r="A7" s="1">
        <v>6</v>
      </c>
      <c r="B7" s="1" t="s">
        <v>29</v>
      </c>
      <c r="C7" s="1" t="s">
        <v>30</v>
      </c>
      <c r="D7" s="1">
        <v>81</v>
      </c>
      <c r="E7" s="1">
        <v>85</v>
      </c>
      <c r="F7" s="1">
        <v>83</v>
      </c>
      <c r="G7" s="1">
        <v>80</v>
      </c>
      <c r="H7" s="1">
        <v>87</v>
      </c>
      <c r="I7" s="3">
        <f t="shared" si="0"/>
        <v>416</v>
      </c>
      <c r="J7" s="4">
        <f t="shared" si="1"/>
        <v>0.83200000000000007</v>
      </c>
      <c r="K7" s="3">
        <f t="shared" si="2"/>
        <v>87</v>
      </c>
      <c r="L7" s="3">
        <f t="shared" si="3"/>
        <v>80</v>
      </c>
      <c r="M7" s="3" t="str">
        <f>LOWER(B7)</f>
        <v>krishna</v>
      </c>
      <c r="N7" s="3" t="str">
        <f>UPPER(B7)</f>
        <v>KRISHNA</v>
      </c>
      <c r="O7" s="3" t="str">
        <f t="shared" si="4"/>
        <v>Krishna</v>
      </c>
      <c r="P7">
        <f t="shared" si="5"/>
        <v>83.2</v>
      </c>
      <c r="Q7" t="str">
        <f t="shared" si="6"/>
        <v>B</v>
      </c>
      <c r="R7" t="str">
        <f t="shared" si="7"/>
        <v>6-Krishna</v>
      </c>
      <c r="S7" t="str">
        <f t="shared" si="8"/>
        <v>Krishna</v>
      </c>
    </row>
    <row r="8" spans="1:19" x14ac:dyDescent="0.3">
      <c r="A8" s="1">
        <v>7</v>
      </c>
      <c r="B8" s="1" t="s">
        <v>31</v>
      </c>
      <c r="C8" s="1" t="s">
        <v>32</v>
      </c>
      <c r="D8" s="1">
        <v>76</v>
      </c>
      <c r="E8" s="1">
        <v>82</v>
      </c>
      <c r="F8" s="1">
        <v>79</v>
      </c>
      <c r="G8" s="1">
        <v>74</v>
      </c>
      <c r="H8" s="1">
        <v>85</v>
      </c>
      <c r="I8" s="3">
        <f t="shared" si="0"/>
        <v>396</v>
      </c>
      <c r="J8" s="4">
        <f t="shared" si="1"/>
        <v>0.79200000000000004</v>
      </c>
      <c r="K8" s="3">
        <f t="shared" si="2"/>
        <v>85</v>
      </c>
      <c r="L8" s="3">
        <f t="shared" si="3"/>
        <v>74</v>
      </c>
      <c r="M8" s="3" t="str">
        <f>LOWER(B8)</f>
        <v>yash</v>
      </c>
      <c r="N8" s="3" t="str">
        <f>UPPER(B8)</f>
        <v>YASH</v>
      </c>
      <c r="O8" s="3" t="str">
        <f t="shared" si="4"/>
        <v>Yash</v>
      </c>
      <c r="P8">
        <f t="shared" si="5"/>
        <v>79.2</v>
      </c>
      <c r="Q8" t="str">
        <f t="shared" si="6"/>
        <v>C</v>
      </c>
      <c r="R8" t="str">
        <f t="shared" si="7"/>
        <v>7-Yash</v>
      </c>
      <c r="S8" t="str">
        <f t="shared" si="8"/>
        <v>Yash</v>
      </c>
    </row>
    <row r="9" spans="1:19" x14ac:dyDescent="0.3">
      <c r="A9" s="1">
        <v>8</v>
      </c>
      <c r="B9" s="1" t="s">
        <v>33</v>
      </c>
      <c r="C9" s="1" t="s">
        <v>34</v>
      </c>
      <c r="D9" s="1">
        <v>94</v>
      </c>
      <c r="E9" s="1">
        <v>98</v>
      </c>
      <c r="F9" s="1">
        <v>96</v>
      </c>
      <c r="G9" s="1">
        <v>92</v>
      </c>
      <c r="H9" s="1">
        <v>99</v>
      </c>
      <c r="I9" s="3">
        <f t="shared" si="0"/>
        <v>479</v>
      </c>
      <c r="J9" s="4">
        <f t="shared" si="1"/>
        <v>0.95799999999999996</v>
      </c>
      <c r="K9" s="3">
        <f t="shared" si="2"/>
        <v>99</v>
      </c>
      <c r="L9" s="3">
        <f t="shared" si="3"/>
        <v>92</v>
      </c>
      <c r="M9" s="3" t="str">
        <f>LOWER(B9)</f>
        <v>dhruv</v>
      </c>
      <c r="N9" s="3" t="str">
        <f>UPPER(B9)</f>
        <v>DHRUV</v>
      </c>
      <c r="O9" s="3" t="str">
        <f t="shared" si="4"/>
        <v>Dhruv</v>
      </c>
      <c r="P9">
        <f t="shared" si="5"/>
        <v>95.8</v>
      </c>
      <c r="Q9" t="str">
        <f t="shared" si="6"/>
        <v>A</v>
      </c>
      <c r="R9" t="str">
        <f t="shared" si="7"/>
        <v>8-Dhruv</v>
      </c>
      <c r="S9" t="str">
        <f t="shared" si="8"/>
        <v>Dhruv</v>
      </c>
    </row>
    <row r="10" spans="1:19" x14ac:dyDescent="0.3">
      <c r="A10" s="1">
        <v>9</v>
      </c>
      <c r="B10" s="1" t="s">
        <v>35</v>
      </c>
      <c r="C10" s="1" t="s">
        <v>36</v>
      </c>
      <c r="D10" s="1">
        <v>69</v>
      </c>
      <c r="E10" s="1">
        <v>74</v>
      </c>
      <c r="F10" s="1">
        <v>71</v>
      </c>
      <c r="G10" s="1">
        <v>68</v>
      </c>
      <c r="H10" s="1">
        <v>78</v>
      </c>
      <c r="I10" s="3">
        <f t="shared" si="0"/>
        <v>360</v>
      </c>
      <c r="J10" s="4">
        <f t="shared" si="1"/>
        <v>0.72</v>
      </c>
      <c r="K10" s="3">
        <f t="shared" si="2"/>
        <v>78</v>
      </c>
      <c r="L10" s="3">
        <f t="shared" si="3"/>
        <v>68</v>
      </c>
      <c r="M10" s="3" t="str">
        <f>LOWER(B10)</f>
        <v>karan</v>
      </c>
      <c r="N10" s="3" t="str">
        <f>UPPER(B10)</f>
        <v>KARAN</v>
      </c>
      <c r="O10" s="3" t="str">
        <f t="shared" si="4"/>
        <v>Karan</v>
      </c>
      <c r="P10">
        <f t="shared" si="5"/>
        <v>72</v>
      </c>
      <c r="Q10" t="str">
        <f t="shared" si="6"/>
        <v>C</v>
      </c>
      <c r="R10" t="str">
        <f t="shared" si="7"/>
        <v>9-Karan</v>
      </c>
      <c r="S10" t="str">
        <f t="shared" si="8"/>
        <v>Karan</v>
      </c>
    </row>
    <row r="11" spans="1:19" x14ac:dyDescent="0.3">
      <c r="A11" s="1">
        <v>10</v>
      </c>
      <c r="B11" s="1" t="s">
        <v>37</v>
      </c>
      <c r="C11" s="1" t="s">
        <v>38</v>
      </c>
      <c r="D11" s="1">
        <v>84</v>
      </c>
      <c r="E11" s="1">
        <v>87</v>
      </c>
      <c r="F11" s="1">
        <v>85</v>
      </c>
      <c r="G11" s="1">
        <v>82</v>
      </c>
      <c r="H11" s="1">
        <v>90</v>
      </c>
      <c r="I11" s="3">
        <f t="shared" si="0"/>
        <v>428</v>
      </c>
      <c r="J11" s="4">
        <f t="shared" si="1"/>
        <v>0.85599999999999998</v>
      </c>
      <c r="K11" s="3">
        <f t="shared" si="2"/>
        <v>90</v>
      </c>
      <c r="L11" s="3">
        <f t="shared" si="3"/>
        <v>82</v>
      </c>
      <c r="M11" s="3" t="str">
        <f>LOWER(B11)</f>
        <v>rahul</v>
      </c>
      <c r="N11" s="3" t="str">
        <f>UPPER(B11)</f>
        <v>RAHUL</v>
      </c>
      <c r="O11" s="3" t="str">
        <f t="shared" si="4"/>
        <v>Rahul</v>
      </c>
      <c r="P11">
        <f t="shared" si="5"/>
        <v>85.6</v>
      </c>
      <c r="Q11" t="str">
        <f t="shared" si="6"/>
        <v>B</v>
      </c>
      <c r="R11" t="str">
        <f t="shared" si="7"/>
        <v>10-Rahul</v>
      </c>
      <c r="S11" t="str">
        <f t="shared" si="8"/>
        <v>Rahul</v>
      </c>
    </row>
    <row r="12" spans="1:19" x14ac:dyDescent="0.3">
      <c r="A12" s="1">
        <v>11</v>
      </c>
      <c r="B12" s="1" t="s">
        <v>39</v>
      </c>
      <c r="C12" s="1" t="s">
        <v>40</v>
      </c>
      <c r="D12" s="1">
        <v>92</v>
      </c>
      <c r="E12" s="1">
        <v>94</v>
      </c>
      <c r="F12" s="1">
        <v>91</v>
      </c>
      <c r="G12" s="1">
        <v>90</v>
      </c>
      <c r="H12" s="1">
        <v>96</v>
      </c>
      <c r="I12" s="3">
        <f t="shared" si="0"/>
        <v>463</v>
      </c>
      <c r="J12" s="4">
        <f t="shared" si="1"/>
        <v>0.92599999999999993</v>
      </c>
      <c r="K12" s="3">
        <f t="shared" si="2"/>
        <v>96</v>
      </c>
      <c r="L12" s="3">
        <f t="shared" si="3"/>
        <v>90</v>
      </c>
      <c r="M12" s="3" t="str">
        <f>LOWER(B12)</f>
        <v>priya</v>
      </c>
      <c r="N12" s="3" t="str">
        <f>UPPER(B12)</f>
        <v>PRIYA</v>
      </c>
      <c r="O12" s="3" t="str">
        <f t="shared" si="4"/>
        <v>Priya</v>
      </c>
      <c r="P12">
        <f t="shared" si="5"/>
        <v>92.6</v>
      </c>
      <c r="Q12" t="str">
        <f t="shared" si="6"/>
        <v>A</v>
      </c>
      <c r="R12" t="str">
        <f t="shared" si="7"/>
        <v>11-Priya</v>
      </c>
      <c r="S12" t="str">
        <f t="shared" si="8"/>
        <v>Priya</v>
      </c>
    </row>
    <row r="13" spans="1:19" x14ac:dyDescent="0.3">
      <c r="A13" s="1">
        <v>12</v>
      </c>
      <c r="B13" s="1" t="s">
        <v>41</v>
      </c>
      <c r="C13" s="1" t="s">
        <v>42</v>
      </c>
      <c r="D13" s="1">
        <v>87</v>
      </c>
      <c r="E13" s="1">
        <v>89</v>
      </c>
      <c r="F13" s="1">
        <v>88</v>
      </c>
      <c r="G13" s="1">
        <v>86</v>
      </c>
      <c r="H13" s="1">
        <v>93</v>
      </c>
      <c r="I13" s="3">
        <f t="shared" si="0"/>
        <v>443</v>
      </c>
      <c r="J13" s="4">
        <f t="shared" si="1"/>
        <v>0.8859999999999999</v>
      </c>
      <c r="K13" s="3">
        <f t="shared" si="2"/>
        <v>93</v>
      </c>
      <c r="L13" s="3">
        <f t="shared" si="3"/>
        <v>86</v>
      </c>
      <c r="M13" s="3" t="str">
        <f>LOWER(B13)</f>
        <v>ananya</v>
      </c>
      <c r="N13" s="3" t="str">
        <f>UPPER(B13)</f>
        <v>ANANYA</v>
      </c>
      <c r="O13" s="3" t="str">
        <f t="shared" si="4"/>
        <v>Ananya</v>
      </c>
      <c r="P13">
        <f t="shared" si="5"/>
        <v>88.6</v>
      </c>
      <c r="Q13" t="str">
        <f t="shared" si="6"/>
        <v>B</v>
      </c>
      <c r="R13" t="str">
        <f t="shared" si="7"/>
        <v>12-Ananya</v>
      </c>
      <c r="S13" t="str">
        <f t="shared" si="8"/>
        <v>Ananya</v>
      </c>
    </row>
    <row r="14" spans="1:19" x14ac:dyDescent="0.3">
      <c r="A14" s="1">
        <v>13</v>
      </c>
      <c r="B14" s="1" t="s">
        <v>43</v>
      </c>
      <c r="C14" s="1" t="s">
        <v>44</v>
      </c>
      <c r="D14" s="1">
        <v>79</v>
      </c>
      <c r="E14" s="1">
        <v>83</v>
      </c>
      <c r="F14" s="1">
        <v>81</v>
      </c>
      <c r="G14" s="1">
        <v>77</v>
      </c>
      <c r="H14" s="1">
        <v>86</v>
      </c>
      <c r="I14" s="3">
        <f t="shared" si="0"/>
        <v>406</v>
      </c>
      <c r="J14" s="4">
        <f t="shared" si="1"/>
        <v>0.81200000000000006</v>
      </c>
      <c r="K14" s="3">
        <f t="shared" si="2"/>
        <v>86</v>
      </c>
      <c r="L14" s="3">
        <f t="shared" si="3"/>
        <v>77</v>
      </c>
      <c r="M14" s="3" t="str">
        <f>LOWER(B14)</f>
        <v>sneha</v>
      </c>
      <c r="N14" s="3" t="str">
        <f>UPPER(B14)</f>
        <v>SNEHA</v>
      </c>
      <c r="O14" s="3" t="str">
        <f t="shared" si="4"/>
        <v>Sneha</v>
      </c>
      <c r="P14">
        <f t="shared" si="5"/>
        <v>81.2</v>
      </c>
      <c r="Q14" t="str">
        <f t="shared" si="6"/>
        <v>B</v>
      </c>
      <c r="R14" t="str">
        <f t="shared" si="7"/>
        <v>13-Sneha</v>
      </c>
      <c r="S14" t="str">
        <f t="shared" si="8"/>
        <v>Sneha</v>
      </c>
    </row>
    <row r="15" spans="1:19" ht="15" customHeight="1" x14ac:dyDescent="0.3">
      <c r="A15" s="1">
        <v>14</v>
      </c>
      <c r="B15" s="1" t="s">
        <v>45</v>
      </c>
      <c r="C15" s="1" t="s">
        <v>46</v>
      </c>
      <c r="D15" s="1">
        <v>90</v>
      </c>
      <c r="E15" s="1">
        <v>93</v>
      </c>
      <c r="F15" s="1">
        <v>92</v>
      </c>
      <c r="G15" s="1">
        <v>89</v>
      </c>
      <c r="H15" s="1">
        <v>95</v>
      </c>
      <c r="I15" s="3">
        <f t="shared" si="0"/>
        <v>459</v>
      </c>
      <c r="J15" s="4">
        <f t="shared" si="1"/>
        <v>0.91799999999999993</v>
      </c>
      <c r="K15" s="3">
        <f t="shared" si="2"/>
        <v>95</v>
      </c>
      <c r="L15" s="3">
        <f t="shared" si="3"/>
        <v>89</v>
      </c>
      <c r="M15" s="3" t="str">
        <f>LOWER(B15)</f>
        <v>neha</v>
      </c>
      <c r="N15" s="3" t="str">
        <f>UPPER(B15)</f>
        <v>NEHA</v>
      </c>
      <c r="O15" s="3" t="str">
        <f t="shared" si="4"/>
        <v>Neha</v>
      </c>
      <c r="P15">
        <f t="shared" si="5"/>
        <v>91.8</v>
      </c>
      <c r="Q15" t="str">
        <f t="shared" si="6"/>
        <v>A</v>
      </c>
      <c r="R15" t="str">
        <f t="shared" si="7"/>
        <v>14-Neha</v>
      </c>
      <c r="S15" t="str">
        <f t="shared" si="8"/>
        <v>Neha</v>
      </c>
    </row>
    <row r="16" spans="1:19" x14ac:dyDescent="0.3">
      <c r="A16" s="1">
        <v>15</v>
      </c>
      <c r="B16" s="1" t="s">
        <v>47</v>
      </c>
      <c r="C16" s="1" t="s">
        <v>48</v>
      </c>
      <c r="D16" s="1">
        <v>83</v>
      </c>
      <c r="E16" s="1">
        <v>86</v>
      </c>
      <c r="F16" s="1">
        <v>84</v>
      </c>
      <c r="G16" s="1">
        <v>81</v>
      </c>
      <c r="H16" s="1">
        <v>88</v>
      </c>
      <c r="I16" s="3">
        <f t="shared" si="0"/>
        <v>422</v>
      </c>
      <c r="J16" s="4">
        <f t="shared" si="1"/>
        <v>0.84400000000000008</v>
      </c>
      <c r="K16" s="3">
        <f t="shared" si="2"/>
        <v>88</v>
      </c>
      <c r="L16" s="3">
        <f t="shared" si="3"/>
        <v>81</v>
      </c>
      <c r="M16" s="3" t="str">
        <f>LOWER(B16)</f>
        <v>kavya</v>
      </c>
      <c r="N16" s="3" t="str">
        <f>UPPER(B16)</f>
        <v>KAVYA</v>
      </c>
      <c r="O16" s="3" t="str">
        <f t="shared" si="4"/>
        <v>Kavya</v>
      </c>
      <c r="P16">
        <f t="shared" si="5"/>
        <v>84.4</v>
      </c>
      <c r="Q16" t="str">
        <f t="shared" si="6"/>
        <v>B</v>
      </c>
      <c r="R16" t="str">
        <f t="shared" si="7"/>
        <v>15-Kavya</v>
      </c>
      <c r="S16" t="str">
        <f t="shared" si="8"/>
        <v>Kavya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3">
      <c r="A18" t="s">
        <v>17</v>
      </c>
      <c r="B18">
        <f>COUNT(A2:A16)</f>
        <v>15</v>
      </c>
    </row>
    <row r="19" spans="1:15" x14ac:dyDescent="0.3">
      <c r="A19" t="s">
        <v>18</v>
      </c>
      <c r="B19">
        <f>COUNTA(B2:B16)</f>
        <v>15</v>
      </c>
    </row>
    <row r="20" spans="1:15" x14ac:dyDescent="0.3">
      <c r="A20" t="s">
        <v>19</v>
      </c>
      <c r="B20">
        <f>COUNTIF(I2:I16,"&gt;400")</f>
        <v>12</v>
      </c>
    </row>
    <row r="24" spans="1:15" x14ac:dyDescent="0.3">
      <c r="A24" t="s">
        <v>52</v>
      </c>
      <c r="B24" t="s">
        <v>55</v>
      </c>
    </row>
    <row r="25" spans="1:15" x14ac:dyDescent="0.3">
      <c r="A25">
        <v>1</v>
      </c>
      <c r="B25">
        <f>VLOOKUP(A25,$A$2:$S$16,4)</f>
        <v>85</v>
      </c>
    </row>
    <row r="26" spans="1:15" x14ac:dyDescent="0.3">
      <c r="A26">
        <v>2</v>
      </c>
      <c r="B26">
        <f t="shared" ref="B26:B39" si="9">VLOOKUP(A26,$A$2:$S$16,4)</f>
        <v>78</v>
      </c>
    </row>
    <row r="27" spans="1:15" x14ac:dyDescent="0.3">
      <c r="A27">
        <v>3</v>
      </c>
      <c r="B27">
        <f t="shared" si="9"/>
        <v>91</v>
      </c>
    </row>
    <row r="28" spans="1:15" x14ac:dyDescent="0.3">
      <c r="A28">
        <v>4</v>
      </c>
      <c r="B28">
        <f t="shared" si="9"/>
        <v>72</v>
      </c>
    </row>
    <row r="29" spans="1:15" x14ac:dyDescent="0.3">
      <c r="A29">
        <v>5</v>
      </c>
      <c r="B29">
        <f t="shared" si="9"/>
        <v>88</v>
      </c>
    </row>
    <row r="30" spans="1:15" x14ac:dyDescent="0.3">
      <c r="A30">
        <v>6</v>
      </c>
      <c r="B30">
        <f t="shared" si="9"/>
        <v>81</v>
      </c>
    </row>
    <row r="31" spans="1:15" x14ac:dyDescent="0.3">
      <c r="A31">
        <v>7</v>
      </c>
      <c r="B31">
        <f t="shared" si="9"/>
        <v>76</v>
      </c>
    </row>
    <row r="32" spans="1:15" x14ac:dyDescent="0.3">
      <c r="A32">
        <v>8</v>
      </c>
      <c r="B32">
        <f t="shared" si="9"/>
        <v>94</v>
      </c>
    </row>
    <row r="33" spans="1:2" x14ac:dyDescent="0.3">
      <c r="A33">
        <v>9</v>
      </c>
      <c r="B33">
        <f t="shared" si="9"/>
        <v>69</v>
      </c>
    </row>
    <row r="34" spans="1:2" x14ac:dyDescent="0.3">
      <c r="A34">
        <v>10</v>
      </c>
      <c r="B34">
        <f t="shared" si="9"/>
        <v>84</v>
      </c>
    </row>
    <row r="35" spans="1:2" x14ac:dyDescent="0.3">
      <c r="A35">
        <v>11</v>
      </c>
      <c r="B35">
        <f t="shared" si="9"/>
        <v>92</v>
      </c>
    </row>
    <row r="36" spans="1:2" x14ac:dyDescent="0.3">
      <c r="A36">
        <v>12</v>
      </c>
      <c r="B36">
        <f t="shared" si="9"/>
        <v>87</v>
      </c>
    </row>
    <row r="37" spans="1:2" x14ac:dyDescent="0.3">
      <c r="A37">
        <v>13</v>
      </c>
      <c r="B37">
        <f t="shared" si="9"/>
        <v>79</v>
      </c>
    </row>
    <row r="38" spans="1:2" x14ac:dyDescent="0.3">
      <c r="A38">
        <v>14</v>
      </c>
      <c r="B38">
        <f t="shared" si="9"/>
        <v>90</v>
      </c>
    </row>
    <row r="39" spans="1:2" x14ac:dyDescent="0.3">
      <c r="A39">
        <v>15</v>
      </c>
      <c r="B39">
        <f t="shared" si="9"/>
        <v>83</v>
      </c>
    </row>
  </sheetData>
  <pageMargins left="0.7" right="0.7" top="0.75" bottom="0.75" header="0.3" footer="0.3"/>
  <pageSetup orientation="portrait" r:id="rId1"/>
  <headerFooter>
    <oddHeader>&amp;L&amp;G</oddHeader>
    <oddFooter>&amp;C&amp;P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D571-FE28-4B7C-BF15-32E2A930C3B4}">
  <dimension ref="A1:F13"/>
  <sheetViews>
    <sheetView workbookViewId="0">
      <selection activeCell="I17" sqref="I17"/>
    </sheetView>
  </sheetViews>
  <sheetFormatPr defaultRowHeight="14.4" x14ac:dyDescent="0.3"/>
  <cols>
    <col min="1" max="1" width="12.77734375" customWidth="1"/>
  </cols>
  <sheetData>
    <row r="1" spans="1:6" x14ac:dyDescent="0.3">
      <c r="A1" s="2" t="s">
        <v>53</v>
      </c>
      <c r="B1" s="2">
        <v>101</v>
      </c>
      <c r="C1" s="2">
        <v>102</v>
      </c>
      <c r="D1" s="2">
        <v>103</v>
      </c>
      <c r="E1" s="2">
        <v>104</v>
      </c>
      <c r="F1" s="2">
        <v>105</v>
      </c>
    </row>
    <row r="2" spans="1:6" x14ac:dyDescent="0.3">
      <c r="A2" s="5" t="s">
        <v>2</v>
      </c>
      <c r="B2" s="5">
        <v>85</v>
      </c>
      <c r="C2" s="5">
        <v>90</v>
      </c>
      <c r="D2" s="5">
        <v>78</v>
      </c>
      <c r="E2" s="5">
        <v>95</v>
      </c>
      <c r="F2" s="5">
        <v>82</v>
      </c>
    </row>
    <row r="3" spans="1:6" ht="28.8" x14ac:dyDescent="0.3">
      <c r="A3" s="5" t="s">
        <v>3</v>
      </c>
      <c r="B3" s="5">
        <v>92</v>
      </c>
      <c r="C3" s="5">
        <v>87</v>
      </c>
      <c r="D3" s="5">
        <v>84</v>
      </c>
      <c r="E3" s="5">
        <v>98</v>
      </c>
      <c r="F3" s="5">
        <v>79</v>
      </c>
    </row>
    <row r="4" spans="1:6" x14ac:dyDescent="0.3">
      <c r="A4" s="5" t="s">
        <v>4</v>
      </c>
      <c r="B4" s="5">
        <v>88</v>
      </c>
      <c r="C4" s="5">
        <v>91</v>
      </c>
      <c r="D4" s="5">
        <v>80</v>
      </c>
      <c r="E4" s="5">
        <v>94</v>
      </c>
      <c r="F4" s="5">
        <v>85</v>
      </c>
    </row>
    <row r="5" spans="1:6" ht="28.8" x14ac:dyDescent="0.3">
      <c r="A5" s="5" t="s">
        <v>5</v>
      </c>
      <c r="B5" s="5">
        <v>81</v>
      </c>
      <c r="C5" s="5">
        <v>89</v>
      </c>
      <c r="D5" s="5">
        <v>76</v>
      </c>
      <c r="E5" s="5">
        <v>96</v>
      </c>
      <c r="F5" s="5">
        <v>83</v>
      </c>
    </row>
    <row r="6" spans="1:6" ht="28.8" x14ac:dyDescent="0.3">
      <c r="A6" s="5" t="s">
        <v>6</v>
      </c>
      <c r="B6" s="5">
        <v>95</v>
      </c>
      <c r="C6" s="5">
        <v>93</v>
      </c>
      <c r="D6" s="5">
        <v>88</v>
      </c>
      <c r="E6" s="5">
        <v>99</v>
      </c>
      <c r="F6" s="5">
        <v>90</v>
      </c>
    </row>
    <row r="8" spans="1:6" x14ac:dyDescent="0.3">
      <c r="A8" s="5" t="s">
        <v>53</v>
      </c>
      <c r="B8" t="s">
        <v>54</v>
      </c>
    </row>
    <row r="9" spans="1:6" x14ac:dyDescent="0.3">
      <c r="A9">
        <v>101</v>
      </c>
      <c r="B9">
        <f>HLOOKUP(A9,$A$1:$F$6,2)</f>
        <v>85</v>
      </c>
    </row>
    <row r="10" spans="1:6" x14ac:dyDescent="0.3">
      <c r="A10">
        <v>102</v>
      </c>
      <c r="B10">
        <f t="shared" ref="B10:B13" si="0">HLOOKUP(A10,$A$1:$F$6,2)</f>
        <v>90</v>
      </c>
    </row>
    <row r="11" spans="1:6" x14ac:dyDescent="0.3">
      <c r="A11">
        <v>103</v>
      </c>
      <c r="B11">
        <f t="shared" si="0"/>
        <v>78</v>
      </c>
    </row>
    <row r="12" spans="1:6" x14ac:dyDescent="0.3">
      <c r="A12">
        <v>104</v>
      </c>
      <c r="B12">
        <f t="shared" si="0"/>
        <v>95</v>
      </c>
    </row>
    <row r="13" spans="1:6" x14ac:dyDescent="0.3">
      <c r="A13">
        <v>105</v>
      </c>
      <c r="B13">
        <f t="shared" si="0"/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Patel</dc:creator>
  <cp:lastModifiedBy>Om Patel</cp:lastModifiedBy>
  <dcterms:created xsi:type="dcterms:W3CDTF">2026-07-29T06:54:35Z</dcterms:created>
  <dcterms:modified xsi:type="dcterms:W3CDTF">2026-07-29T08:05:36Z</dcterms:modified>
</cp:coreProperties>
</file>